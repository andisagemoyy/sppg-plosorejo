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887060A-5592-4272-84A4-D556EEEF22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1" l="1"/>
  <c r="I71" i="1"/>
  <c r="I72" i="1"/>
  <c r="I73" i="1"/>
  <c r="I74" i="1"/>
  <c r="I69" i="1"/>
  <c r="I61" i="1"/>
  <c r="Q17" i="1"/>
  <c r="Q15" i="1"/>
  <c r="F36" i="1"/>
  <c r="F27" i="1"/>
  <c r="F13" i="1"/>
  <c r="F39" i="1"/>
  <c r="F35" i="1"/>
  <c r="F32" i="1"/>
  <c r="F31" i="1"/>
  <c r="F30" i="1"/>
  <c r="F29" i="1"/>
  <c r="F28" i="1"/>
  <c r="F26" i="1"/>
  <c r="F23" i="1"/>
  <c r="F22" i="1"/>
  <c r="F21" i="1"/>
  <c r="F20" i="1"/>
  <c r="F19" i="1"/>
  <c r="F18" i="1"/>
  <c r="F17" i="1"/>
  <c r="F16" i="1"/>
  <c r="F12" i="1"/>
  <c r="C42" i="1"/>
  <c r="D42" i="1"/>
  <c r="F42" i="1" l="1"/>
  <c r="Q8" i="1"/>
  <c r="Q12" i="1"/>
  <c r="H78" i="1"/>
  <c r="F78" i="1"/>
  <c r="D78" i="1"/>
  <c r="C78" i="1"/>
  <c r="I67" i="1"/>
  <c r="I66" i="1"/>
  <c r="I65" i="1"/>
  <c r="I64" i="1"/>
  <c r="I63" i="1"/>
  <c r="I62" i="1"/>
  <c r="I78" i="1" l="1"/>
  <c r="H81" i="1" s="1"/>
  <c r="Q13" i="1"/>
  <c r="Q9" i="1"/>
</calcChain>
</file>

<file path=xl/sharedStrings.xml><?xml version="1.0" encoding="utf-8"?>
<sst xmlns="http://schemas.openxmlformats.org/spreadsheetml/2006/main" count="112" uniqueCount="91">
  <si>
    <t>DATA PENERIMA MANFAAT SPPG PLOSOREJO</t>
  </si>
  <si>
    <t>YAYASAN ASSALAM NGANCAR KENTENG KABUPATEN GROBOGAN</t>
  </si>
  <si>
    <t>Alamat</t>
  </si>
  <si>
    <t>Kepala SPPG</t>
  </si>
  <si>
    <t>: Yanuwar Valentinno Setia Abadi S.T</t>
  </si>
  <si>
    <t>No. BA Verbal</t>
  </si>
  <si>
    <t>No</t>
  </si>
  <si>
    <t>NAMA SEKOLAH</t>
  </si>
  <si>
    <t>SASARAN PENERIMA MANFAAT
(MBG)</t>
  </si>
  <si>
    <t>ANAK</t>
  </si>
  <si>
    <t>DEWASA</t>
  </si>
  <si>
    <t>TOTAL</t>
  </si>
  <si>
    <t>TK DHARMA WANITA 1 PLOSOREJO</t>
  </si>
  <si>
    <t>TK DHARMA WANITA 2 PLOSOREJO</t>
  </si>
  <si>
    <t>TK DHARMA WANITA 3 PLOSOREJO</t>
  </si>
  <si>
    <t>TK DHARMA WANITA 4 PLOSOREJO</t>
  </si>
  <si>
    <t>MI PENJALINAN</t>
  </si>
  <si>
    <t>SMP GARUDA PENJALINAN</t>
  </si>
  <si>
    <t>SMK GARUDA PENJALINAN</t>
  </si>
  <si>
    <t>MTS PLOSOREJO</t>
  </si>
  <si>
    <t>TK DHARMA WANITA 1 JONO</t>
  </si>
  <si>
    <t>TK DHARMA WANITA 3 JONO</t>
  </si>
  <si>
    <t>SD N 1 JONO</t>
  </si>
  <si>
    <t>SD N 2 JONO</t>
  </si>
  <si>
    <t>SD N 4 JONO</t>
  </si>
  <si>
    <t>TOTAL SISWA SEKOLAH</t>
  </si>
  <si>
    <t>NO</t>
  </si>
  <si>
    <t>NAMA POSYANDU</t>
  </si>
  <si>
    <t>SASARAN PENERIMA MANFAAT 3B DESA PLOSOREJO</t>
  </si>
  <si>
    <t>IBU HAMIL TM1, TM2, TM3</t>
  </si>
  <si>
    <t>PJ</t>
  </si>
  <si>
    <t>KENANGA (NGERIMPI)</t>
  </si>
  <si>
    <t>BUGENVIL  (JETAK)</t>
  </si>
  <si>
    <t>NUSA INDAH (NUSO)</t>
  </si>
  <si>
    <t>KAMBOJA (KEDEN)</t>
  </si>
  <si>
    <t>MAWAR (PLOSO)</t>
  </si>
  <si>
    <t>MELATI (BRINGIN)</t>
  </si>
  <si>
    <t>ANGGREK (NJALINAN)</t>
  </si>
  <si>
    <t>TOTAL 3B</t>
  </si>
  <si>
    <t>: Desa Plosorejo RT 04 RW 01 Kec. Tawangharjo Kab. Grobogan Prov. Jawa Tengah 58192</t>
  </si>
  <si>
    <t>: Desa Plosorejo RT 04 RW 01 Kec.Tawangharjo Kab. Grobogan Prov. Jawa Tengah 58192</t>
  </si>
  <si>
    <t>PAUD</t>
  </si>
  <si>
    <t>TK/RA</t>
  </si>
  <si>
    <t>TK DHAMA WANITA  2 JONO</t>
  </si>
  <si>
    <t>SD/MI</t>
  </si>
  <si>
    <t>SD 1 PLOSOREJO</t>
  </si>
  <si>
    <t>SD 2 PLOSOREJO</t>
  </si>
  <si>
    <t>SD 3 PLOSOREJO</t>
  </si>
  <si>
    <t>SMP/MTS</t>
  </si>
  <si>
    <t>SMA/SMK/MA</t>
  </si>
  <si>
    <t>TPQ ANAK PINTAR PENJALNAN</t>
  </si>
  <si>
    <t>PJ/GURU</t>
  </si>
  <si>
    <t>alergi ayam (1) ahmad arsya, alergi susu coklat (1) ahmad amri</t>
  </si>
  <si>
    <t xml:space="preserve">         ATS (ANAK TIDAK SEKOLAH)</t>
  </si>
  <si>
    <t>IBU MENYUSUI (USIA 0-24 BULAN)</t>
  </si>
  <si>
    <t>BALITA (USIA 24-59 BULAN)</t>
  </si>
  <si>
    <t>JARAK SPPG KE SEKOLAH</t>
  </si>
  <si>
    <t>2 KM</t>
  </si>
  <si>
    <t>0,8 KM</t>
  </si>
  <si>
    <t>0,1 KM</t>
  </si>
  <si>
    <t>0,2 KM</t>
  </si>
  <si>
    <t>1 KM</t>
  </si>
  <si>
    <t>1,5 KM</t>
  </si>
  <si>
    <t>1,7 KM</t>
  </si>
  <si>
    <t xml:space="preserve">2KM </t>
  </si>
  <si>
    <t>0,3 KM</t>
  </si>
  <si>
    <t>2,4 KM</t>
  </si>
  <si>
    <t>0,9 KM</t>
  </si>
  <si>
    <t>0,7 KM</t>
  </si>
  <si>
    <t>POS PAUD MELATI INDAH JONO</t>
  </si>
  <si>
    <t>POS PAUD FLAMBOYAN INDAH JONO</t>
  </si>
  <si>
    <t>jumlah PM anak sekolah (ploso)</t>
  </si>
  <si>
    <t>Jumlah PM 3B ploso</t>
  </si>
  <si>
    <t>Jumlah PM anak sekolah (jono)</t>
  </si>
  <si>
    <t>jumlah PM 3B jono</t>
  </si>
  <si>
    <t>PM anak sekolah mayahan</t>
  </si>
  <si>
    <t>pm anak sekolah pojok</t>
  </si>
  <si>
    <t>disabil</t>
  </si>
  <si>
    <t>: 08/BA/VERVAL/JAKARTA/VIII/2025</t>
  </si>
  <si>
    <t>0.3 KM</t>
  </si>
  <si>
    <t xml:space="preserve">DAHLIA KAYEN </t>
  </si>
  <si>
    <t>ANGGREK MAYAHAN</t>
  </si>
  <si>
    <t>MAWAR KARANGPUNG</t>
  </si>
  <si>
    <t>MELATI BEBER</t>
  </si>
  <si>
    <t>SEROJA SUMBEREJO</t>
  </si>
  <si>
    <t>3B MAYAHAN</t>
  </si>
  <si>
    <t>3B PLOSOREJO</t>
  </si>
  <si>
    <t>KB ANAK PINTAR PLOSOREJO</t>
  </si>
  <si>
    <t>KB</t>
  </si>
  <si>
    <t>PAUD ANAK PINTAR PLOSOREJO</t>
  </si>
  <si>
    <t>CLAUDIA NGASINAN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</si>
</sst>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5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left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0" fillId="6" borderId="5" xfId="0" applyFill="1" applyBorder="1"/>
    <xf numFmtId="0" fontId="3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topLeftCell="A47" zoomScale="51" zoomScaleNormal="51" workbookViewId="0">
      <selection activeCell="C72" sqref="C72"/>
    </sheetView>
  </sheetViews>
  <sheetFormatPr defaultRowHeight="14.5" x14ac:dyDescent="0.35"/>
  <cols>
    <col min="1" max="1" width="5.54296875" customWidth="1"/>
    <col min="2" max="2" width="31.54296875" customWidth="1"/>
    <col min="3" max="3" width="16.81640625" customWidth="1"/>
    <col min="4" max="5" width="16.26953125" customWidth="1"/>
    <col min="6" max="6" width="17.1796875" customWidth="1"/>
    <col min="7" max="7" width="27.26953125" customWidth="1"/>
    <col min="8" max="8" width="12" customWidth="1"/>
    <col min="9" max="9" width="9.81640625" customWidth="1"/>
    <col min="14" max="15" width="8.7265625" customWidth="1"/>
    <col min="16" max="16" width="26.36328125" customWidth="1"/>
  </cols>
  <sheetData>
    <row r="1" spans="1:17" x14ac:dyDescent="0.3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7" x14ac:dyDescent="0.35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</row>
    <row r="3" spans="1:17" ht="15.75" customHeight="1" x14ac:dyDescent="0.35">
      <c r="B3" t="s">
        <v>2</v>
      </c>
      <c r="C3" s="34" t="s">
        <v>39</v>
      </c>
      <c r="D3" s="34"/>
      <c r="E3" s="34"/>
      <c r="F3" s="34"/>
      <c r="G3" s="34"/>
      <c r="H3" s="34"/>
      <c r="I3" s="34"/>
    </row>
    <row r="4" spans="1:17" x14ac:dyDescent="0.35">
      <c r="B4" t="s">
        <v>3</v>
      </c>
      <c r="C4" t="s">
        <v>4</v>
      </c>
    </row>
    <row r="5" spans="1:17" x14ac:dyDescent="0.35">
      <c r="B5" t="s">
        <v>5</v>
      </c>
      <c r="C5" t="s">
        <v>78</v>
      </c>
    </row>
    <row r="7" spans="1:17" x14ac:dyDescent="0.35">
      <c r="A7" s="35" t="s">
        <v>6</v>
      </c>
      <c r="B7" s="35" t="s">
        <v>7</v>
      </c>
      <c r="C7" s="38" t="s">
        <v>8</v>
      </c>
      <c r="D7" s="39"/>
      <c r="E7" s="39"/>
      <c r="F7" s="40"/>
      <c r="G7" s="22"/>
    </row>
    <row r="8" spans="1:17" x14ac:dyDescent="0.35">
      <c r="A8" s="36"/>
      <c r="B8" s="37"/>
      <c r="C8" s="2" t="s">
        <v>9</v>
      </c>
      <c r="D8" s="2" t="s">
        <v>10</v>
      </c>
      <c r="E8" s="2" t="s">
        <v>51</v>
      </c>
      <c r="F8" s="2" t="s">
        <v>11</v>
      </c>
      <c r="G8" s="2" t="s">
        <v>56</v>
      </c>
      <c r="O8" t="s">
        <v>71</v>
      </c>
      <c r="Q8">
        <f>SUM(F10,F16:F19,F23,F26:F29,F35:F36,F39:F40)</f>
        <v>1201</v>
      </c>
    </row>
    <row r="9" spans="1:17" x14ac:dyDescent="0.35">
      <c r="A9" s="19"/>
      <c r="B9" s="20" t="s">
        <v>41</v>
      </c>
      <c r="C9" s="11"/>
      <c r="D9" s="11"/>
      <c r="E9" s="11"/>
      <c r="F9" s="11"/>
      <c r="G9" s="15"/>
      <c r="O9" t="s">
        <v>72</v>
      </c>
      <c r="Q9">
        <f>SUM(I61:I67)</f>
        <v>447</v>
      </c>
    </row>
    <row r="10" spans="1:17" x14ac:dyDescent="0.35">
      <c r="A10" s="3">
        <v>1</v>
      </c>
      <c r="B10" s="28" t="s">
        <v>87</v>
      </c>
      <c r="C10" s="26">
        <v>26</v>
      </c>
      <c r="D10" s="26"/>
      <c r="E10" s="26">
        <v>2</v>
      </c>
      <c r="F10" s="27">
        <v>28</v>
      </c>
      <c r="G10" s="26" t="s">
        <v>79</v>
      </c>
    </row>
    <row r="11" spans="1:17" x14ac:dyDescent="0.35">
      <c r="A11" s="3">
        <v>2</v>
      </c>
      <c r="B11" s="28" t="s">
        <v>89</v>
      </c>
      <c r="C11" s="26">
        <v>12</v>
      </c>
      <c r="D11" s="26"/>
      <c r="E11" s="26">
        <v>2</v>
      </c>
      <c r="F11" s="27">
        <v>14</v>
      </c>
      <c r="G11" s="26" t="s">
        <v>79</v>
      </c>
    </row>
    <row r="12" spans="1:17" x14ac:dyDescent="0.35">
      <c r="A12" s="3">
        <v>3</v>
      </c>
      <c r="B12" s="28" t="s">
        <v>70</v>
      </c>
      <c r="C12" s="26">
        <v>23</v>
      </c>
      <c r="D12" s="26"/>
      <c r="E12" s="26">
        <v>2</v>
      </c>
      <c r="F12" s="27">
        <f>SUM(C12:E12)</f>
        <v>25</v>
      </c>
      <c r="G12" s="26" t="s">
        <v>57</v>
      </c>
      <c r="O12" t="s">
        <v>73</v>
      </c>
      <c r="Q12">
        <f>SUM(F12:F13,F20:F22,F30:F32)</f>
        <v>620</v>
      </c>
    </row>
    <row r="13" spans="1:17" x14ac:dyDescent="0.35">
      <c r="A13" s="3">
        <v>4</v>
      </c>
      <c r="B13" s="28" t="s">
        <v>69</v>
      </c>
      <c r="C13" s="26">
        <v>30</v>
      </c>
      <c r="D13" s="26"/>
      <c r="E13" s="26">
        <v>3</v>
      </c>
      <c r="F13" s="27">
        <f>SUM(C13:E13)</f>
        <v>33</v>
      </c>
      <c r="G13" s="26" t="s">
        <v>57</v>
      </c>
      <c r="O13" t="s">
        <v>74</v>
      </c>
      <c r="Q13">
        <f>SUM(I69:I76)</f>
        <v>349</v>
      </c>
    </row>
    <row r="14" spans="1:17" x14ac:dyDescent="0.35">
      <c r="A14" s="13"/>
      <c r="B14" s="4"/>
      <c r="C14" s="5"/>
      <c r="D14" s="5"/>
      <c r="E14" s="5"/>
      <c r="F14" s="6"/>
      <c r="G14" s="16"/>
      <c r="I14" t="s">
        <v>52</v>
      </c>
    </row>
    <row r="15" spans="1:17" x14ac:dyDescent="0.35">
      <c r="A15" s="13"/>
      <c r="B15" s="21" t="s">
        <v>42</v>
      </c>
      <c r="C15" s="5"/>
      <c r="D15" s="5"/>
      <c r="E15" s="5"/>
      <c r="F15" s="18"/>
      <c r="G15" s="16"/>
      <c r="O15" t="s">
        <v>75</v>
      </c>
      <c r="Q15" t="e">
        <f>SUM(#REF!,#REF!)</f>
        <v>#REF!</v>
      </c>
    </row>
    <row r="16" spans="1:17" x14ac:dyDescent="0.35">
      <c r="A16" s="13">
        <v>4</v>
      </c>
      <c r="B16" s="25" t="s">
        <v>12</v>
      </c>
      <c r="C16" s="26">
        <v>48</v>
      </c>
      <c r="D16" s="26"/>
      <c r="E16" s="26">
        <v>2</v>
      </c>
      <c r="F16" s="27">
        <f t="shared" ref="F16:F22" si="0">SUM(C16:E16)</f>
        <v>50</v>
      </c>
      <c r="G16" s="26" t="s">
        <v>58</v>
      </c>
    </row>
    <row r="17" spans="1:17" x14ac:dyDescent="0.35">
      <c r="A17" s="3">
        <v>5</v>
      </c>
      <c r="B17" s="28" t="s">
        <v>13</v>
      </c>
      <c r="C17" s="26">
        <v>62</v>
      </c>
      <c r="D17" s="26"/>
      <c r="E17" s="26">
        <v>3</v>
      </c>
      <c r="F17" s="27">
        <f t="shared" si="0"/>
        <v>65</v>
      </c>
      <c r="G17" s="26" t="s">
        <v>59</v>
      </c>
      <c r="O17" t="s">
        <v>76</v>
      </c>
      <c r="Q17" t="e">
        <f>SUM(F14:F14,F24,#REF!,#REF!)</f>
        <v>#REF!</v>
      </c>
    </row>
    <row r="18" spans="1:17" x14ac:dyDescent="0.35">
      <c r="A18" s="3">
        <v>6</v>
      </c>
      <c r="B18" s="28" t="s">
        <v>14</v>
      </c>
      <c r="C18" s="26">
        <v>27</v>
      </c>
      <c r="D18" s="26"/>
      <c r="E18" s="26">
        <v>2</v>
      </c>
      <c r="F18" s="27">
        <f t="shared" si="0"/>
        <v>29</v>
      </c>
      <c r="G18" s="26" t="s">
        <v>60</v>
      </c>
    </row>
    <row r="19" spans="1:17" x14ac:dyDescent="0.35">
      <c r="A19" s="3">
        <v>7</v>
      </c>
      <c r="B19" s="28" t="s">
        <v>15</v>
      </c>
      <c r="C19" s="26">
        <v>56</v>
      </c>
      <c r="D19" s="26"/>
      <c r="E19" s="26">
        <v>3</v>
      </c>
      <c r="F19" s="27">
        <f t="shared" si="0"/>
        <v>59</v>
      </c>
      <c r="G19" s="26" t="s">
        <v>61</v>
      </c>
    </row>
    <row r="20" spans="1:17" x14ac:dyDescent="0.35">
      <c r="A20" s="3">
        <v>8</v>
      </c>
      <c r="B20" s="28" t="s">
        <v>20</v>
      </c>
      <c r="C20" s="26">
        <v>29</v>
      </c>
      <c r="D20" s="26"/>
      <c r="E20" s="26">
        <v>3</v>
      </c>
      <c r="F20" s="27">
        <f t="shared" si="0"/>
        <v>32</v>
      </c>
      <c r="G20" s="26" t="s">
        <v>62</v>
      </c>
    </row>
    <row r="21" spans="1:17" x14ac:dyDescent="0.35">
      <c r="A21" s="3">
        <v>9</v>
      </c>
      <c r="B21" s="28" t="s">
        <v>43</v>
      </c>
      <c r="C21" s="26">
        <v>23</v>
      </c>
      <c r="D21" s="26"/>
      <c r="E21" s="26">
        <v>3</v>
      </c>
      <c r="F21" s="27">
        <f t="shared" si="0"/>
        <v>26</v>
      </c>
      <c r="G21" s="26" t="s">
        <v>63</v>
      </c>
    </row>
    <row r="22" spans="1:17" x14ac:dyDescent="0.35">
      <c r="A22" s="3">
        <v>10</v>
      </c>
      <c r="B22" s="28" t="s">
        <v>21</v>
      </c>
      <c r="C22" s="26">
        <v>44</v>
      </c>
      <c r="D22" s="26"/>
      <c r="E22" s="26">
        <v>4</v>
      </c>
      <c r="F22" s="27">
        <f t="shared" si="0"/>
        <v>48</v>
      </c>
      <c r="G22" s="26" t="s">
        <v>64</v>
      </c>
    </row>
    <row r="23" spans="1:17" x14ac:dyDescent="0.35">
      <c r="A23" s="3">
        <v>11</v>
      </c>
      <c r="B23" s="28" t="s">
        <v>50</v>
      </c>
      <c r="C23" s="26">
        <v>15</v>
      </c>
      <c r="D23" s="26"/>
      <c r="E23" s="26">
        <v>3</v>
      </c>
      <c r="F23" s="27">
        <f>SUM(C23:E23)</f>
        <v>18</v>
      </c>
      <c r="G23" s="26" t="s">
        <v>61</v>
      </c>
    </row>
    <row r="24" spans="1:17" x14ac:dyDescent="0.35">
      <c r="A24" s="3"/>
      <c r="B24" s="4"/>
      <c r="C24" s="5"/>
      <c r="D24" s="5"/>
      <c r="E24" s="5"/>
      <c r="F24" s="18"/>
      <c r="G24" s="16"/>
    </row>
    <row r="25" spans="1:17" x14ac:dyDescent="0.35">
      <c r="A25" s="3"/>
      <c r="B25" s="21" t="s">
        <v>44</v>
      </c>
      <c r="C25" s="5"/>
      <c r="D25" s="5"/>
      <c r="E25" s="5"/>
      <c r="F25" s="18"/>
      <c r="G25" s="16"/>
      <c r="I25" t="s">
        <v>88</v>
      </c>
    </row>
    <row r="26" spans="1:17" x14ac:dyDescent="0.35">
      <c r="A26" s="3">
        <v>12</v>
      </c>
      <c r="B26" s="28" t="s">
        <v>45</v>
      </c>
      <c r="C26" s="26">
        <v>91</v>
      </c>
      <c r="D26" s="26">
        <v>80</v>
      </c>
      <c r="E26" s="26">
        <v>11</v>
      </c>
      <c r="F26" s="27">
        <f t="shared" ref="F26:F32" si="1">SUM(C26:E26)</f>
        <v>182</v>
      </c>
      <c r="G26" s="26" t="s">
        <v>65</v>
      </c>
    </row>
    <row r="27" spans="1:17" x14ac:dyDescent="0.35">
      <c r="A27" s="3">
        <v>13</v>
      </c>
      <c r="B27" s="28" t="s">
        <v>46</v>
      </c>
      <c r="C27" s="26">
        <v>73</v>
      </c>
      <c r="D27" s="26">
        <v>74</v>
      </c>
      <c r="E27" s="26">
        <v>12</v>
      </c>
      <c r="F27" s="27">
        <f t="shared" si="1"/>
        <v>159</v>
      </c>
      <c r="G27" s="26" t="s">
        <v>66</v>
      </c>
    </row>
    <row r="28" spans="1:17" x14ac:dyDescent="0.35">
      <c r="A28" s="3">
        <v>14</v>
      </c>
      <c r="B28" s="28" t="s">
        <v>47</v>
      </c>
      <c r="C28" s="26">
        <v>78</v>
      </c>
      <c r="D28" s="26">
        <v>95</v>
      </c>
      <c r="E28" s="26">
        <v>9</v>
      </c>
      <c r="F28" s="27">
        <f t="shared" si="1"/>
        <v>182</v>
      </c>
      <c r="G28" s="26" t="s">
        <v>60</v>
      </c>
    </row>
    <row r="29" spans="1:17" x14ac:dyDescent="0.35">
      <c r="A29" s="3">
        <v>15</v>
      </c>
      <c r="B29" s="28" t="s">
        <v>16</v>
      </c>
      <c r="C29" s="26">
        <v>85</v>
      </c>
      <c r="D29" s="26">
        <v>85</v>
      </c>
      <c r="E29" s="26">
        <v>13</v>
      </c>
      <c r="F29" s="27">
        <f t="shared" si="1"/>
        <v>183</v>
      </c>
      <c r="G29" s="26" t="s">
        <v>61</v>
      </c>
    </row>
    <row r="30" spans="1:17" x14ac:dyDescent="0.35">
      <c r="A30" s="3">
        <v>16</v>
      </c>
      <c r="B30" s="28" t="s">
        <v>22</v>
      </c>
      <c r="C30" s="26">
        <v>53</v>
      </c>
      <c r="D30" s="26">
        <v>61</v>
      </c>
      <c r="E30" s="26">
        <v>10</v>
      </c>
      <c r="F30" s="27">
        <f t="shared" si="1"/>
        <v>124</v>
      </c>
      <c r="G30" s="26" t="s">
        <v>62</v>
      </c>
    </row>
    <row r="31" spans="1:17" x14ac:dyDescent="0.35">
      <c r="A31" s="3">
        <v>17</v>
      </c>
      <c r="B31" s="28" t="s">
        <v>23</v>
      </c>
      <c r="C31" s="26">
        <v>93</v>
      </c>
      <c r="D31" s="26">
        <v>114</v>
      </c>
      <c r="E31" s="26">
        <v>10</v>
      </c>
      <c r="F31" s="27">
        <f t="shared" si="1"/>
        <v>217</v>
      </c>
      <c r="G31" s="26" t="s">
        <v>63</v>
      </c>
    </row>
    <row r="32" spans="1:17" x14ac:dyDescent="0.35">
      <c r="A32" s="3">
        <v>18</v>
      </c>
      <c r="B32" s="28" t="s">
        <v>24</v>
      </c>
      <c r="C32" s="26">
        <v>39</v>
      </c>
      <c r="D32" s="26">
        <v>65</v>
      </c>
      <c r="E32" s="26">
        <v>11</v>
      </c>
      <c r="F32" s="27">
        <f t="shared" si="1"/>
        <v>115</v>
      </c>
      <c r="G32" s="26" t="s">
        <v>57</v>
      </c>
    </row>
    <row r="33" spans="1:7" x14ac:dyDescent="0.35">
      <c r="A33" s="15"/>
      <c r="B33" s="15"/>
      <c r="C33" s="15"/>
      <c r="D33" s="15"/>
      <c r="E33" s="15"/>
      <c r="F33" s="15"/>
      <c r="G33" s="15"/>
    </row>
    <row r="34" spans="1:7" x14ac:dyDescent="0.35">
      <c r="A34" s="3"/>
      <c r="B34" s="21" t="s">
        <v>48</v>
      </c>
      <c r="C34" s="5"/>
      <c r="D34" s="5"/>
      <c r="E34" s="5"/>
      <c r="F34" s="18"/>
      <c r="G34" s="16"/>
    </row>
    <row r="35" spans="1:7" x14ac:dyDescent="0.35">
      <c r="A35" s="3">
        <v>19</v>
      </c>
      <c r="B35" s="28" t="s">
        <v>17</v>
      </c>
      <c r="C35" s="26"/>
      <c r="D35" s="26">
        <v>71</v>
      </c>
      <c r="E35" s="26">
        <v>11</v>
      </c>
      <c r="F35" s="27">
        <f>SUM(C35:E35)</f>
        <v>82</v>
      </c>
      <c r="G35" s="26" t="s">
        <v>67</v>
      </c>
    </row>
    <row r="36" spans="1:7" x14ac:dyDescent="0.35">
      <c r="A36" s="3">
        <v>20</v>
      </c>
      <c r="B36" s="25" t="s">
        <v>19</v>
      </c>
      <c r="C36" s="26"/>
      <c r="D36" s="26">
        <v>67</v>
      </c>
      <c r="E36" s="26">
        <v>18</v>
      </c>
      <c r="F36" s="27">
        <f>SUM(C36:E36)</f>
        <v>85</v>
      </c>
      <c r="G36" s="26" t="s">
        <v>68</v>
      </c>
    </row>
    <row r="37" spans="1:7" x14ac:dyDescent="0.35">
      <c r="A37" s="3"/>
      <c r="B37" s="23"/>
      <c r="C37" s="16"/>
      <c r="D37" s="16"/>
      <c r="E37" s="16"/>
      <c r="F37" s="6"/>
      <c r="G37" s="16"/>
    </row>
    <row r="38" spans="1:7" x14ac:dyDescent="0.35">
      <c r="A38" s="3"/>
      <c r="B38" s="21" t="s">
        <v>49</v>
      </c>
      <c r="C38" s="5"/>
      <c r="D38" s="5"/>
      <c r="E38" s="5"/>
      <c r="F38" s="18"/>
      <c r="G38" s="16"/>
    </row>
    <row r="39" spans="1:7" x14ac:dyDescent="0.35">
      <c r="A39" s="3">
        <v>21</v>
      </c>
      <c r="B39" s="25" t="s">
        <v>18</v>
      </c>
      <c r="C39" s="26"/>
      <c r="D39" s="26">
        <v>61</v>
      </c>
      <c r="E39" s="26">
        <v>11</v>
      </c>
      <c r="F39" s="27">
        <f>SUM(C39:E39)</f>
        <v>72</v>
      </c>
      <c r="G39" s="26" t="s">
        <v>67</v>
      </c>
    </row>
    <row r="40" spans="1:7" x14ac:dyDescent="0.35">
      <c r="A40" s="3"/>
      <c r="B40" s="24" t="s">
        <v>53</v>
      </c>
      <c r="C40" s="5">
        <v>3</v>
      </c>
      <c r="D40" s="5">
        <v>4</v>
      </c>
      <c r="E40" s="5"/>
      <c r="F40" s="18">
        <v>7</v>
      </c>
      <c r="G40" s="18"/>
    </row>
    <row r="41" spans="1:7" x14ac:dyDescent="0.35">
      <c r="A41" s="3"/>
      <c r="B41" s="7"/>
      <c r="C41" s="5"/>
      <c r="D41" s="5"/>
      <c r="E41" s="5"/>
      <c r="F41" s="18"/>
      <c r="G41" s="18"/>
    </row>
    <row r="42" spans="1:7" x14ac:dyDescent="0.35">
      <c r="A42" s="45" t="s">
        <v>25</v>
      </c>
      <c r="B42" s="45"/>
      <c r="C42" s="8">
        <f>SUM(C10:C41)</f>
        <v>910</v>
      </c>
      <c r="D42" s="8">
        <f>SUM(D10:D41)</f>
        <v>777</v>
      </c>
      <c r="E42" s="8"/>
      <c r="F42" s="8">
        <f>SUM(F10:F41)</f>
        <v>1835</v>
      </c>
      <c r="G42" s="8"/>
    </row>
    <row r="50" spans="1:12" x14ac:dyDescent="0.35">
      <c r="A50" s="33" t="s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 spans="1:12" x14ac:dyDescent="0.35">
      <c r="A51" s="33" t="s">
        <v>1</v>
      </c>
      <c r="B51" s="33"/>
      <c r="C51" s="33"/>
      <c r="D51" s="33"/>
      <c r="E51" s="33"/>
      <c r="F51" s="33"/>
      <c r="G51" s="33"/>
      <c r="H51" s="33"/>
      <c r="I51" s="33"/>
      <c r="J51" s="33"/>
    </row>
    <row r="52" spans="1:12" x14ac:dyDescent="0.35">
      <c r="B52" t="s">
        <v>2</v>
      </c>
      <c r="C52" s="34" t="s">
        <v>40</v>
      </c>
      <c r="D52" s="34"/>
      <c r="E52" s="34"/>
      <c r="F52" s="34"/>
      <c r="G52" s="34"/>
      <c r="H52" s="34"/>
      <c r="I52" s="34"/>
    </row>
    <row r="53" spans="1:12" x14ac:dyDescent="0.35">
      <c r="B53" t="s">
        <v>3</v>
      </c>
      <c r="C53" t="s">
        <v>4</v>
      </c>
    </row>
    <row r="54" spans="1:12" x14ac:dyDescent="0.35">
      <c r="B54" t="s">
        <v>5</v>
      </c>
      <c r="C54" t="s">
        <v>78</v>
      </c>
    </row>
    <row r="57" spans="1:12" x14ac:dyDescent="0.35">
      <c r="A57" s="9" t="s">
        <v>26</v>
      </c>
      <c r="B57" s="9" t="s">
        <v>27</v>
      </c>
      <c r="C57" s="46" t="s">
        <v>28</v>
      </c>
      <c r="D57" s="46"/>
      <c r="E57" s="46"/>
      <c r="F57" s="46"/>
      <c r="G57" s="46"/>
      <c r="H57" s="46"/>
      <c r="I57" s="46"/>
    </row>
    <row r="58" spans="1:12" x14ac:dyDescent="0.35">
      <c r="A58" s="9"/>
      <c r="B58" s="9"/>
      <c r="C58" s="46" t="s">
        <v>55</v>
      </c>
      <c r="D58" s="46" t="s">
        <v>29</v>
      </c>
      <c r="E58" s="22"/>
      <c r="F58" s="46" t="s">
        <v>54</v>
      </c>
      <c r="G58" s="22"/>
      <c r="H58" s="47" t="s">
        <v>30</v>
      </c>
      <c r="I58" s="47" t="s">
        <v>11</v>
      </c>
    </row>
    <row r="59" spans="1:12" x14ac:dyDescent="0.35">
      <c r="A59" s="9"/>
      <c r="B59" s="9"/>
      <c r="C59" s="46"/>
      <c r="D59" s="46"/>
      <c r="E59" s="22"/>
      <c r="F59" s="46"/>
      <c r="G59" s="22"/>
      <c r="H59" s="47"/>
      <c r="I59" s="47"/>
    </row>
    <row r="60" spans="1:12" x14ac:dyDescent="0.35">
      <c r="A60" s="1"/>
      <c r="B60" s="1" t="s">
        <v>86</v>
      </c>
      <c r="C60" s="10"/>
      <c r="D60" s="10"/>
      <c r="E60" s="10"/>
      <c r="F60" s="10"/>
      <c r="G60" s="10"/>
      <c r="H60" s="11"/>
      <c r="I60" s="11"/>
    </row>
    <row r="61" spans="1:12" ht="15.5" x14ac:dyDescent="0.35">
      <c r="A61" s="3">
        <v>1</v>
      </c>
      <c r="B61" s="29" t="s">
        <v>31</v>
      </c>
      <c r="C61" s="30">
        <v>21</v>
      </c>
      <c r="D61" s="31">
        <v>2</v>
      </c>
      <c r="E61" s="31"/>
      <c r="F61" s="31">
        <v>15</v>
      </c>
      <c r="G61" s="31"/>
      <c r="H61" s="31">
        <v>1</v>
      </c>
      <c r="I61" s="31">
        <f>SUM(C61:H61)</f>
        <v>39</v>
      </c>
      <c r="K61" t="s">
        <v>77</v>
      </c>
      <c r="L61">
        <v>3</v>
      </c>
    </row>
    <row r="62" spans="1:12" ht="15.5" x14ac:dyDescent="0.35">
      <c r="A62" s="13">
        <v>2</v>
      </c>
      <c r="B62" s="29" t="s">
        <v>32</v>
      </c>
      <c r="C62" s="30">
        <v>31</v>
      </c>
      <c r="D62" s="31">
        <v>7</v>
      </c>
      <c r="E62" s="31"/>
      <c r="F62" s="31">
        <v>29</v>
      </c>
      <c r="G62" s="31"/>
      <c r="H62" s="31">
        <v>1</v>
      </c>
      <c r="I62" s="31">
        <f t="shared" ref="I62:I67" si="2">SUM(C62:H62)</f>
        <v>68</v>
      </c>
    </row>
    <row r="63" spans="1:12" ht="15.5" x14ac:dyDescent="0.35">
      <c r="A63" s="3">
        <v>3</v>
      </c>
      <c r="B63" s="29" t="s">
        <v>33</v>
      </c>
      <c r="C63" s="30">
        <v>30</v>
      </c>
      <c r="D63" s="31">
        <v>6</v>
      </c>
      <c r="E63" s="31"/>
      <c r="F63" s="31">
        <v>26</v>
      </c>
      <c r="G63" s="31"/>
      <c r="H63" s="31">
        <v>1</v>
      </c>
      <c r="I63" s="31">
        <f t="shared" si="2"/>
        <v>63</v>
      </c>
    </row>
    <row r="64" spans="1:12" ht="15.5" x14ac:dyDescent="0.35">
      <c r="A64" s="3">
        <v>4</v>
      </c>
      <c r="B64" s="29" t="s">
        <v>34</v>
      </c>
      <c r="C64" s="30">
        <v>8</v>
      </c>
      <c r="D64" s="31">
        <v>1</v>
      </c>
      <c r="E64" s="31"/>
      <c r="F64" s="31">
        <v>6</v>
      </c>
      <c r="G64" s="31"/>
      <c r="H64" s="31">
        <v>1</v>
      </c>
      <c r="I64" s="31">
        <f t="shared" si="2"/>
        <v>16</v>
      </c>
    </row>
    <row r="65" spans="1:12" ht="15.5" x14ac:dyDescent="0.35">
      <c r="A65" s="3">
        <v>5</v>
      </c>
      <c r="B65" s="29" t="s">
        <v>35</v>
      </c>
      <c r="C65" s="30">
        <v>36</v>
      </c>
      <c r="D65" s="31">
        <v>12</v>
      </c>
      <c r="E65" s="31"/>
      <c r="F65" s="31">
        <v>33</v>
      </c>
      <c r="G65" s="31"/>
      <c r="H65" s="31">
        <v>1</v>
      </c>
      <c r="I65" s="31">
        <f t="shared" si="2"/>
        <v>82</v>
      </c>
      <c r="K65" t="s">
        <v>77</v>
      </c>
      <c r="L65">
        <v>1</v>
      </c>
    </row>
    <row r="66" spans="1:12" ht="15.5" x14ac:dyDescent="0.35">
      <c r="A66" s="3">
        <v>6</v>
      </c>
      <c r="B66" s="29" t="s">
        <v>36</v>
      </c>
      <c r="C66" s="30">
        <v>38</v>
      </c>
      <c r="D66" s="31">
        <v>8</v>
      </c>
      <c r="E66" s="31"/>
      <c r="F66" s="31">
        <v>35</v>
      </c>
      <c r="G66" s="31"/>
      <c r="H66" s="31">
        <v>1</v>
      </c>
      <c r="I66" s="31">
        <f t="shared" si="2"/>
        <v>82</v>
      </c>
      <c r="K66" t="s">
        <v>77</v>
      </c>
      <c r="L66">
        <v>2</v>
      </c>
    </row>
    <row r="67" spans="1:12" ht="15.5" x14ac:dyDescent="0.35">
      <c r="A67" s="3">
        <v>7</v>
      </c>
      <c r="B67" s="29" t="s">
        <v>37</v>
      </c>
      <c r="C67" s="30">
        <v>56</v>
      </c>
      <c r="D67" s="31">
        <v>12</v>
      </c>
      <c r="E67" s="31"/>
      <c r="F67" s="31">
        <v>28</v>
      </c>
      <c r="G67" s="31"/>
      <c r="H67" s="31">
        <v>1</v>
      </c>
      <c r="I67" s="31">
        <f t="shared" si="2"/>
        <v>97</v>
      </c>
      <c r="K67" t="s">
        <v>77</v>
      </c>
      <c r="L67">
        <v>1</v>
      </c>
    </row>
    <row r="68" spans="1:12" ht="15.5" x14ac:dyDescent="0.35">
      <c r="A68" s="3"/>
      <c r="B68" s="14" t="s">
        <v>85</v>
      </c>
      <c r="C68" s="12"/>
      <c r="D68" s="3"/>
      <c r="E68" s="3"/>
      <c r="F68" s="3"/>
      <c r="G68" s="3"/>
      <c r="H68" s="3"/>
      <c r="I68" s="3"/>
    </row>
    <row r="69" spans="1:12" ht="15.5" x14ac:dyDescent="0.35">
      <c r="A69" s="3">
        <v>1</v>
      </c>
      <c r="B69" s="29" t="s">
        <v>80</v>
      </c>
      <c r="C69" s="32">
        <v>25</v>
      </c>
      <c r="D69" s="32">
        <v>6</v>
      </c>
      <c r="E69" s="31"/>
      <c r="F69" s="32">
        <v>23</v>
      </c>
      <c r="G69" s="31"/>
      <c r="H69" s="31">
        <v>1</v>
      </c>
      <c r="I69" s="31">
        <f>SUM(C69:H69)</f>
        <v>55</v>
      </c>
    </row>
    <row r="70" spans="1:12" ht="15.5" x14ac:dyDescent="0.35">
      <c r="A70" s="3">
        <v>2</v>
      </c>
      <c r="B70" s="29" t="s">
        <v>81</v>
      </c>
      <c r="C70" s="32">
        <v>35</v>
      </c>
      <c r="D70" s="32">
        <v>3</v>
      </c>
      <c r="E70" s="31"/>
      <c r="F70" s="32">
        <v>18</v>
      </c>
      <c r="G70" s="31"/>
      <c r="H70" s="31">
        <v>1</v>
      </c>
      <c r="I70" s="31">
        <f t="shared" ref="I70:I74" si="3">SUM(C70:H70)</f>
        <v>57</v>
      </c>
    </row>
    <row r="71" spans="1:12" ht="15.5" x14ac:dyDescent="0.35">
      <c r="A71" s="3">
        <v>3</v>
      </c>
      <c r="B71" s="29" t="s">
        <v>90</v>
      </c>
      <c r="C71" s="32">
        <v>21</v>
      </c>
      <c r="D71" s="32">
        <v>5</v>
      </c>
      <c r="E71" s="31"/>
      <c r="F71" s="32">
        <v>20</v>
      </c>
      <c r="G71" s="31"/>
      <c r="H71" s="31">
        <v>1</v>
      </c>
      <c r="I71" s="31">
        <f t="shared" si="3"/>
        <v>47</v>
      </c>
    </row>
    <row r="72" spans="1:12" ht="15.5" x14ac:dyDescent="0.35">
      <c r="A72" s="3">
        <v>4</v>
      </c>
      <c r="B72" s="29" t="s">
        <v>82</v>
      </c>
      <c r="C72" s="32">
        <v>36</v>
      </c>
      <c r="D72" s="32">
        <v>11</v>
      </c>
      <c r="E72" s="31"/>
      <c r="F72" s="32">
        <v>24</v>
      </c>
      <c r="G72" s="31"/>
      <c r="H72" s="31">
        <v>1</v>
      </c>
      <c r="I72" s="31">
        <f t="shared" si="3"/>
        <v>72</v>
      </c>
    </row>
    <row r="73" spans="1:12" ht="15.5" x14ac:dyDescent="0.35">
      <c r="A73" s="3">
        <v>5</v>
      </c>
      <c r="B73" s="29" t="s">
        <v>83</v>
      </c>
      <c r="C73" s="32">
        <v>29</v>
      </c>
      <c r="D73" s="32">
        <v>11</v>
      </c>
      <c r="E73" s="31"/>
      <c r="F73" s="32">
        <v>19</v>
      </c>
      <c r="G73" s="31"/>
      <c r="H73" s="31">
        <v>1</v>
      </c>
      <c r="I73" s="31">
        <f t="shared" si="3"/>
        <v>60</v>
      </c>
    </row>
    <row r="74" spans="1:12" ht="15.5" x14ac:dyDescent="0.35">
      <c r="A74" s="3">
        <v>6</v>
      </c>
      <c r="B74" s="29" t="s">
        <v>84</v>
      </c>
      <c r="C74" s="32">
        <v>34</v>
      </c>
      <c r="D74" s="32">
        <v>4</v>
      </c>
      <c r="E74" s="31"/>
      <c r="F74" s="32">
        <v>19</v>
      </c>
      <c r="G74" s="31"/>
      <c r="H74" s="31">
        <v>1</v>
      </c>
      <c r="I74" s="31">
        <f t="shared" si="3"/>
        <v>58</v>
      </c>
    </row>
    <row r="75" spans="1:12" ht="15.5" x14ac:dyDescent="0.35">
      <c r="A75" s="3"/>
      <c r="B75" s="29"/>
      <c r="C75" s="30"/>
      <c r="D75" s="31"/>
      <c r="E75" s="31"/>
      <c r="F75" s="31"/>
      <c r="G75" s="31"/>
      <c r="H75" s="31"/>
      <c r="I75" s="31"/>
    </row>
    <row r="76" spans="1:12" ht="15.5" x14ac:dyDescent="0.35">
      <c r="A76" s="3"/>
      <c r="B76" s="29"/>
      <c r="C76" s="30"/>
      <c r="D76" s="31"/>
      <c r="E76" s="31"/>
      <c r="F76" s="31"/>
      <c r="G76" s="31"/>
      <c r="H76" s="31"/>
      <c r="I76" s="31"/>
    </row>
    <row r="77" spans="1:12" x14ac:dyDescent="0.35">
      <c r="A77" s="3"/>
      <c r="B77" s="15"/>
      <c r="C77" s="16"/>
      <c r="D77" s="16"/>
      <c r="E77" s="16"/>
      <c r="F77" s="16"/>
      <c r="G77" s="16"/>
      <c r="H77" s="3"/>
      <c r="I77" s="3"/>
    </row>
    <row r="78" spans="1:12" x14ac:dyDescent="0.35">
      <c r="A78" s="41" t="s">
        <v>38</v>
      </c>
      <c r="B78" s="42"/>
      <c r="C78" s="17">
        <f>SUM(C61:C77)</f>
        <v>400</v>
      </c>
      <c r="D78" s="17">
        <f>SUM(D61:D77)</f>
        <v>88</v>
      </c>
      <c r="E78" s="17"/>
      <c r="F78" s="17">
        <f>SUM(F61:F77)</f>
        <v>295</v>
      </c>
      <c r="G78" s="17"/>
      <c r="H78" s="17">
        <f>SUM(H61:H77)</f>
        <v>13</v>
      </c>
      <c r="I78" s="17">
        <f>SUM(I61:I77)</f>
        <v>796</v>
      </c>
    </row>
    <row r="80" spans="1:12" x14ac:dyDescent="0.35">
      <c r="H80" s="43" t="s">
        <v>11</v>
      </c>
      <c r="I80" s="43"/>
    </row>
    <row r="81" spans="8:9" x14ac:dyDescent="0.35">
      <c r="H81" s="44">
        <f>F42+I78</f>
        <v>2631</v>
      </c>
      <c r="I81" s="44"/>
    </row>
  </sheetData>
  <mergeCells count="19">
    <mergeCell ref="A78:B78"/>
    <mergeCell ref="H80:I80"/>
    <mergeCell ref="H81:I81"/>
    <mergeCell ref="A42:B42"/>
    <mergeCell ref="A50:K50"/>
    <mergeCell ref="A51:J51"/>
    <mergeCell ref="C52:I52"/>
    <mergeCell ref="C57:I57"/>
    <mergeCell ref="C58:C59"/>
    <mergeCell ref="D58:D59"/>
    <mergeCell ref="F58:F59"/>
    <mergeCell ref="H58:H59"/>
    <mergeCell ref="I58:I59"/>
    <mergeCell ref="A1:K1"/>
    <mergeCell ref="A2:J2"/>
    <mergeCell ref="C3:I3"/>
    <mergeCell ref="A7:A8"/>
    <mergeCell ref="B7:B8"/>
    <mergeCell ref="C7:F7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</dc:creator>
  <cp:lastModifiedBy>user</cp:lastModifiedBy>
  <dcterms:created xsi:type="dcterms:W3CDTF">2025-12-05T14:43:00Z</dcterms:created>
  <dcterms:modified xsi:type="dcterms:W3CDTF">2026-08-29T13:48:29Z</dcterms:modified>
</cp:coreProperties>
</file>